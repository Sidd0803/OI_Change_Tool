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llachbeth-my.sharepoint.com/personal/ssaha_wallachbeth_com/Documents/Desktop/OI_Change_Tool/data/"/>
    </mc:Choice>
  </mc:AlternateContent>
  <xr:revisionPtr revIDLastSave="80" documentId="13_ncr:1_{7FB34513-B051-4D77-8583-8DEB1B5BBDC1}" xr6:coauthVersionLast="47" xr6:coauthVersionMax="47" xr10:uidLastSave="{6A93388B-C580-419B-91E2-5FE58FF16E8E}"/>
  <bookViews>
    <workbookView xWindow="39990" yWindow="2420" windowWidth="18410" windowHeight="1537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B8" i="1"/>
  <c r="A7" i="1"/>
  <c r="B7" i="1"/>
  <c r="A5" i="1"/>
  <c r="B5" i="1"/>
  <c r="A9" i="1"/>
  <c r="B9" i="1"/>
  <c r="B1" i="1"/>
  <c r="A1" i="1"/>
  <c r="B3" i="1"/>
  <c r="A3" i="1"/>
</calcChain>
</file>

<file path=xl/sharedStrings.xml><?xml version="1.0" encoding="utf-8"?>
<sst xmlns="http://schemas.openxmlformats.org/spreadsheetml/2006/main" count="8" uniqueCount="1">
  <si>
    <t>###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</si>
</sst>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15288</v>
        <stp/>
        <stp>BDP|303756335481063149|22</stp>
        <stp>WBD US 11/20/26 C28 Equity</stp>
        <stp>VOLUME</stp>
        <tr r="B7" s="1"/>
      </tp>
      <tp t="s">
        <v>#N/A N/A</v>
        <stp/>
        <stp>BDP|16338704789380703350</stp>
        <tr r="A8" s="1"/>
      </tp>
      <tp t="s">
        <v>#N/A N/A</v>
        <stp/>
        <stp>BDP|10790127546866417927</stp>
        <tr r="A1" s="1"/>
      </tp>
      <tp t="s">
        <v>#N/A N/A</v>
        <stp/>
        <stp>BDP|13311422607760940446</stp>
        <tr r="A5" s="1"/>
      </tp>
      <tp t="s">
        <v>#N/A N/A</v>
        <stp/>
        <stp>BDP|12490645226751461408</stp>
        <tr r="A9" s="1"/>
      </tp>
      <tp t="s">
        <v>#N/A N/A</v>
        <stp/>
        <stp>BDP|14545488351304071131</stp>
        <tr r="A7" s="1"/>
      </tp>
    </main>
    <main first="bofaddin.rtdserver">
      <tp>
        <v>5486</v>
        <stp/>
        <stp>BDP|6070588607184154166|22</stp>
        <stp>KVUE US 7/10/26 C20 Equity</stp>
        <stp>VOLUME</stp>
        <tr r="B1" s="1"/>
      </tp>
      <tp t="s">
        <v>#N/A N/A</v>
        <stp/>
        <stp>BDP|2392720676065672016</stp>
        <tr r="A3" s="1"/>
      </tp>
      <tp>
        <v>418</v>
        <stp/>
        <stp>BDP|14969636648953227630|22</stp>
        <stp>TECK US 7/17/26 C65 Equity</stp>
        <stp>VOLUME</stp>
        <tr r="B3" s="1"/>
      </tp>
      <tp>
        <v>2003</v>
        <stp/>
        <stp>BDP|3576420985059501811|22</stp>
        <stp>VAL US 8/21/26 C75 Equity</stp>
        <stp>VOLUME</stp>
        <tr r="B5" s="1"/>
      </tp>
      <tp>
        <v>19647</v>
        <stp/>
        <stp>BDP|4058728448819540184|22</stp>
        <stp>WBD US 8/21/26 C29 Equity</stp>
        <stp>VOLUME</stp>
        <tr r="B8" s="1"/>
      </tp>
      <tp>
        <v>1106</v>
        <stp/>
        <stp>BDP|3392827669032419954|22</stp>
        <stp>WBD US 8/21/26 P25 Equity</stp>
        <stp>VOLUME</stp>
        <tr r="B9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C7" sqref="C7"/>
    </sheetView>
  </sheetViews>
  <sheetFormatPr defaultRowHeight="14.5" x14ac:dyDescent="0.35"/>
  <sheetData>
    <row r="1" spans="1:2" x14ac:dyDescent="0.35">
      <c r="A1">
        <f ca="1">IF($B1="","",_xll.BDP($B1,"open_int_change"))</f>
        <v>-67</v>
      </c>
      <c r="B1">
        <f ca="1">IF($B1="","",_xll.BDP($B1,"VOLUME"))</f>
        <v>5486</v>
      </c>
    </row>
    <row r="2" spans="1:2" x14ac:dyDescent="0.35">
      <c r="A2" t="s">
        <v>0</v>
      </c>
      <c r="B2" t="s">
        <v>0</v>
      </c>
    </row>
    <row r="3" spans="1:2" x14ac:dyDescent="0.35">
      <c r="A3">
        <f ca="1">IF($B3="","",_xll.BDP($B3,"open_int_change"))</f>
        <v>163</v>
      </c>
      <c r="B3">
        <f ca="1">IF($B3="","",_xll.BDP($B3,"VOLUME"))</f>
        <v>418</v>
      </c>
    </row>
    <row r="4" spans="1:2" x14ac:dyDescent="0.35">
      <c r="A4" t="s">
        <v>0</v>
      </c>
      <c r="B4" t="s">
        <v>0</v>
      </c>
    </row>
    <row r="5" spans="1:2" x14ac:dyDescent="0.35">
      <c r="A5">
        <f ca="1">IF($B5="","",_xll.BDP($B5,"open_int_change"))</f>
        <v>2000</v>
      </c>
      <c r="B5">
        <f ca="1">IF($B5="","",_xll.BDP($B5,"VOLUME"))</f>
        <v>2003</v>
      </c>
    </row>
    <row r="6" spans="1:2" x14ac:dyDescent="0.35">
      <c r="A6" t="s">
        <v>0</v>
      </c>
      <c r="B6" t="s">
        <v>0</v>
      </c>
    </row>
    <row r="7" spans="1:2" x14ac:dyDescent="0.35">
      <c r="A7">
        <f ca="1">IF($B7="","",_xll.BDP($B7,"open_int_change"))</f>
        <v>14964</v>
      </c>
      <c r="B7">
        <f ca="1">IF($B7="","",_xll.BDP($B7,"VOLUME"))</f>
        <v>15288</v>
      </c>
    </row>
    <row r="8" spans="1:2" x14ac:dyDescent="0.35">
      <c r="A8">
        <f ca="1">IF($B8="","",_xll.BDP($B8,"open_int_change"))</f>
        <v>11521</v>
      </c>
      <c r="B8">
        <f ca="1">IF($B8="","",_xll.BDP($B8,"VOLUME"))</f>
        <v>19647</v>
      </c>
    </row>
    <row r="9" spans="1:2" x14ac:dyDescent="0.35">
      <c r="A9">
        <f ca="1">IF($B9="","",_xll.BDP($B9,"open_int_change"))</f>
        <v>452</v>
      </c>
      <c r="B9">
        <f ca="1">IF($B9="","",_xll.BDP($B9,"VOLUME"))</f>
        <v>1106</v>
      </c>
    </row>
    <row r="10" spans="1:2" x14ac:dyDescent="0.35">
      <c r="A10" t="s">
        <v>0</v>
      </c>
      <c r="B10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Siddharth Saha</cp:lastModifiedBy>
  <cp:revision/>
  <dcterms:created xsi:type="dcterms:W3CDTF">2026-04-24T12:46:47Z</dcterms:created>
  <dcterms:modified xsi:type="dcterms:W3CDTF">2026-07-07T12:54:44Z</dcterms:modified>
  <cp:category/>
  <cp:contentStatus/>
</cp:coreProperties>
</file>